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screpancies" sheetId="2" state="visible" r:id="rId4"/>
    <sheet name="Endpoints" sheetId="3" state="visible" r:id="rId5"/>
    <sheet name="Plan" sheetId="4" state="visible" r:id="rId6"/>
    <sheet name="Decisions" sheetId="5" state="visible" r:id="rId7"/>
  </sheets>
  <definedNames>
    <definedName function="false" hidden="true" localSheetId="1" name="_xlnm._FilterDatabase" vbProcedure="false">Discrepancies!$A$3:$H$12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<sst xmlns="http://schemas.openxmlformats.org/spreadsheetml/2006/main" count="202" uniqueCount="170">
  <si>
    <t xml:space="preserve">Sharwa – Create New Store (Tenant Onboarding): Next.js ↔ Django gap analysis</t>
  </si>
  <si>
    <t xml:space="preserve">Analysis date: 2026-10-21. No code written yet; implementation waits on the two open decisions (see Decisions tab).</t>
  </si>
  <si>
    <t xml:space="preserve">Discrepancies by severity</t>
  </si>
  <si>
    <t xml:space="preserve">Count</t>
  </si>
  <si>
    <t xml:space="preserve">Blocker</t>
  </si>
  <si>
    <t xml:space="preserve">High</t>
  </si>
  <si>
    <t xml:space="preserve">Medium</t>
  </si>
  <si>
    <t xml:space="preserve">Low</t>
  </si>
  <si>
    <t xml:space="preserve">Total</t>
  </si>
  <si>
    <t xml:space="preserve">Status</t>
  </si>
  <si>
    <t xml:space="preserve">Planned</t>
  </si>
  <si>
    <t xml:space="preserve">Needs decision</t>
  </si>
  <si>
    <t xml:space="preserve">Decisions still unanswered</t>
  </si>
  <si>
    <t xml:space="preserve">Tabs: Discrepancies · Endpoints · Plan · Decisions. Yellow cells on the Decisions tab are for your answers.</t>
  </si>
  <si>
    <t xml:space="preserve">Discrepancies between the Next.js wizard and Django</t>
  </si>
  <si>
    <t xml:space="preserve">Severity and Status are drop-downs. Severity is my assessment: Blocker = flow cannot run with mocks off or is unsafe; High = wrong behaviour or security gap; Medium = user-visible mismatch; Low = cosmetic or self-correcting.</t>
  </si>
  <si>
    <t xml:space="preserve">#</t>
  </si>
  <si>
    <t xml:space="preserve">Area</t>
  </si>
  <si>
    <t xml:space="preserve">Severity</t>
  </si>
  <si>
    <t xml:space="preserve">Next.js wizard expects</t>
  </si>
  <si>
    <t xml:space="preserve">Django today</t>
  </si>
  <si>
    <t xml:space="preserve">Impact</t>
  </si>
  <si>
    <t xml:space="preserve">Planned fix</t>
  </si>
  <si>
    <t xml:space="preserve">No JSON API</t>
  </si>
  <si>
    <t xml:space="preserve">3 JSON endpoints (register, verify-otp, resend-otp) + market categories; pending signup identified by otp_token</t>
  </si>
  <si>
    <t xml:space="preserve">HTML pages only (POST /register/, /register/verify-otp/); pending signup kept in the browser session; no resend at all</t>
  </si>
  <si>
    <t xml:space="preserve">Wizard cannot run against Django with mocks off</t>
  </si>
  <si>
    <t xml:space="preserve">Add 4 public endpoints in api/; pending signup + hashed code in Redis keyed by a random otp_token</t>
  </si>
  <si>
    <t xml:space="preserve">Subdomain length</t>
  </si>
  <si>
    <t xml:space="preserve">3–63 characters (SUBDOMAIN_MIN/MAX in src/lib/tenant.ts)</t>
  </si>
  <si>
    <t xml:space="preserve">Max 50 (TenantRegistrationForm), no minimum</t>
  </si>
  <si>
    <t xml:space="preserve">A 51–63 character name passes the live check, then fails at submit with an unexpected message</t>
  </si>
  <si>
    <t xml:space="preserve">One rule in tenants/validators.py used everywhere; recommended 3–50 (frontend SUBDOMAIN_MAX → 50)</t>
  </si>
  <si>
    <t xml:space="preserve">Phone format</t>
  </si>
  <si>
    <t xml:space="preserve">Only 967/966 + 9 digits after normalizePhone</t>
  </si>
  <si>
    <t xml:space="preserve">Anything clean_phone_number returns</t>
  </si>
  <si>
    <t xml:space="preserve">Backend could create stores with numbers the frontend would never send</t>
  </si>
  <si>
    <t xml:space="preserve">API enforces the frontend rule ^(967|966)\d{9}$; HTML form unchanged</t>
  </si>
  <si>
    <t xml:space="preserve">"Number already has a store" message</t>
  </si>
  <si>
    <t xml:space="preserve">Shows the merchant-login link only if the message is exactly «هذا الرقم مرتبط بمتجر»</t>
  </si>
  <si>
    <t xml:space="preserve">«رقم الواتساب هذا مسجل مسبقاً لدى متجر آخر. يُسمح بمتجر واحد لكل رقم.»</t>
  </si>
  <si>
    <t xml:space="preserve">Login link never appears</t>
  </si>
  <si>
    <t xml:space="preserve">API returns the frontend's exact text</t>
  </si>
  <si>
    <t xml:space="preserve">Duplicates found at code-check time</t>
  </si>
  <si>
    <t xml:space="preserve">Field errors on merchant_phone / subdomain so the wizard returns to that field</t>
  </si>
  <si>
    <t xml:space="preserve">One generic page error</t>
  </si>
  <si>
    <t xml:space="preserve">Merchant lands on a dead end instead of the field to fix</t>
  </si>
  <si>
    <t xml:space="preserve">verify-otp re-checks uniqueness and returns {field: [msg]}</t>
  </si>
  <si>
    <t xml:space="preserve">Rate limits</t>
  </si>
  <si>
    <t xml:space="preserve">Reads 429 + Retry-After</t>
  </si>
  <si>
    <t xml:space="preserve">Limits stored in the browser session</t>
  </si>
  <si>
    <t xml:space="preserve">A script that sends no cookies skips the limits</t>
  </si>
  <si>
    <t xml:space="preserve">Count per IP and per phone in Redis, with Django's existing numbers</t>
  </si>
  <si>
    <t xml:space="preserve">Store link after setup</t>
  </si>
  <si>
    <t xml:space="preserve">Redirects to dashboard_url from the status endpoint</t>
  </si>
  <si>
    <t xml:space="preserve">URL built from the calling host = localhost:8000 (internal host in production)</t>
  </si>
  <si>
    <t xml:space="preserve">Merchant sent to Django's port instead of the Next.js dashboard</t>
  </si>
  <si>
    <t xml:space="preserve">Status endpoint uses the original host/protocol the BFF forwards (X-Forwarded-Host/Proto)</t>
  </si>
  <si>
    <t xml:space="preserve">Code lifetime and lockout</t>
  </si>
  <si>
    <t xml:space="preserve">Mock: 5 min, 5 wrong attempts → 60 s lock; reads ttl_seconds and Retry-After</t>
  </si>
  <si>
    <t xml:space="preserve">10 min; 3 wrong attempts per 10 min per phone</t>
  </si>
  <si>
    <t xml:space="preserve">None: the wizard adapts to the server's values</t>
  </si>
  <si>
    <t xml:space="preserve">Keep Django's rules; return ttl_seconds = 600 and Retry-After</t>
  </si>
  <si>
    <t xml:space="preserve">Setting the first password</t>
  </si>
  <si>
    <t xml:space="preserve">{password, password_confirm} only</t>
  </si>
  <si>
    <t xml:space="preserve">Sends a WhatsApp code to the store's number before the first password</t>
  </si>
  <si>
    <t xml:space="preserve">As-is, anyone who opens a new store before its owner could claim it; flow can't run end-to-end with mocks off</t>
  </si>
  <si>
    <t xml:space="preserve">Recommended: short-lived signed setup token on the dashboard link, required by set-password</t>
  </si>
  <si>
    <t xml:space="preserve">Endpoints: what each side has today</t>
  </si>
  <si>
    <t xml:space="preserve">Step</t>
  </si>
  <si>
    <t xml:space="preserve">Next.js expects</t>
  </si>
  <si>
    <t xml:space="preserve">State</t>
  </si>
  <si>
    <t xml:space="preserve">Store details</t>
  </si>
  <si>
    <t xml:space="preserve">POST /api/v1/public/register/ {store_name, merchant_phone, subdomain, interested_categories[], agree_terms} → {otp_token, ttl_seconds, masked_phone} / 400 {field: [msg]}</t>
  </si>
  <si>
    <t xml:space="preserve">HTML POST /register/ (session)</t>
  </si>
  <si>
    <t xml:space="preserve">To build</t>
  </si>
  <si>
    <t xml:space="preserve">Code check</t>
  </si>
  <si>
    <t xml:space="preserve">POST /api/v1/public/register/verify-otp/ {otp_token, code} → {status_token, status_url} / 400 / 410 / 429</t>
  </si>
  <si>
    <t xml:space="preserve">HTML POST /register/verify-otp/ (session)</t>
  </si>
  <si>
    <t xml:space="preserve">Resend code</t>
  </si>
  <si>
    <t xml:space="preserve">POST /api/v1/public/register/resend-otp/ {otp_token} → {ttl_seconds} / 429 + Retry-After</t>
  </si>
  <si>
    <t xml:space="preserve">Does not exist</t>
  </si>
  <si>
    <t xml:space="preserve">Business categories</t>
  </si>
  <si>
    <t xml:space="preserve">GET /api/v1/public/market-categories/ → [{id, name}] (active, by display_order)</t>
  </si>
  <si>
    <t xml:space="preserve">Checkboxes in register.html only</t>
  </si>
  <si>
    <t xml:space="preserve">Subdomain check</t>
  </si>
  <si>
    <t xml:space="preserve">GET /register/check-subdomain/?subdomain= → {available, reason}</t>
  </si>
  <si>
    <t xml:space="preserve">Exists</t>
  </si>
  <si>
    <t xml:space="preserve">Ready</t>
  </si>
  <si>
    <t xml:space="preserve">Setup status</t>
  </si>
  <si>
    <t xml:space="preserve">GET /register/status/&lt;token&gt;/ → {status, store_url?, dashboard_url?}</t>
  </si>
  <si>
    <t xml:space="preserve">Exists (URLs need the host fix, item 7)</t>
  </si>
  <si>
    <t xml:space="preserve">Fix needed</t>
  </si>
  <si>
    <t xml:space="preserve">First password</t>
  </si>
  <si>
    <t xml:space="preserve">POST /api/v1/auth/merchant/setup-password/ {password, password_confirm}</t>
  </si>
  <si>
    <t xml:space="preserve">HTML setup_admin_password with WhatsApp code</t>
  </si>
  <si>
    <t xml:space="preserve">Client model fields the wizard must supply</t>
  </si>
  <si>
    <t xml:space="preserve">Django field</t>
  </si>
  <si>
    <t xml:space="preserve">Wizard field</t>
  </si>
  <si>
    <t xml:space="preserve">Required</t>
  </si>
  <si>
    <t xml:space="preserve">Rule</t>
  </si>
  <si>
    <t xml:space="preserve">schema_name</t>
  </si>
  <si>
    <t xml:space="preserve">subdomain</t>
  </si>
  <si>
    <t xml:space="preserve">Yes</t>
  </si>
  <si>
    <t xml:space="preserve">Lower-case letters and digits; not reserved; unique</t>
  </si>
  <si>
    <t xml:space="preserve">name</t>
  </si>
  <si>
    <t xml:space="preserve">store_name</t>
  </si>
  <si>
    <t xml:space="preserve">3–100 chars; Django also rejects a duplicate name (case-insensitive)</t>
  </si>
  <si>
    <t xml:space="preserve">merchant_phone</t>
  </si>
  <si>
    <t xml:space="preserve">Yes (unique)</t>
  </si>
  <si>
    <t xml:space="preserve">Normalised, e.g. 967770841802</t>
  </si>
  <si>
    <t xml:space="preserve">terms_accepted_at</t>
  </si>
  <si>
    <t xml:space="preserve">agree_terms = true</t>
  </si>
  <si>
    <t xml:space="preserve">Set at creation</t>
  </si>
  <si>
    <t xml:space="preserve">Timestamp written when the store is created</t>
  </si>
  <si>
    <t xml:space="preserve">interested_categories (M2M)</t>
  </si>
  <si>
    <t xml:space="preserve">interested_categories[]</t>
  </si>
  <si>
    <t xml:space="preserve">No</t>
  </si>
  <si>
    <t xml:space="preserve">Active MarketCategory IDs</t>
  </si>
  <si>
    <t xml:space="preserve">provisioning_status</t>
  </si>
  <si>
    <t xml:space="preserve">—</t>
  </si>
  <si>
    <t xml:space="preserve">Set by server</t>
  </si>
  <si>
    <t xml:space="preserve">pending → provisioning → ready / failed (Celery)</t>
  </si>
  <si>
    <t xml:space="preserve">Domain (primary)</t>
  </si>
  <si>
    <t xml:space="preserve">&lt;subdomain&gt;.&lt;TENANT_BASE_DOMAIN&gt;</t>
  </si>
  <si>
    <t xml:space="preserve">Implementation plan</t>
  </si>
  <si>
    <t xml:space="preserve">Work item</t>
  </si>
  <si>
    <t xml:space="preserve">Where</t>
  </si>
  <si>
    <t xml:space="preserve">Notes</t>
  </si>
  <si>
    <t xml:space="preserve">Fixes discrepancy #</t>
  </si>
  <si>
    <t xml:space="preserve">Shared signup code</t>
  </si>
  <si>
    <t xml:space="preserve">tenants/views.py → shared function</t>
  </si>
  <si>
    <t xml:space="preserve">HTML form and API create stores identically</t>
  </si>
  <si>
    <t xml:space="preserve">1, 5</t>
  </si>
  <si>
    <t xml:space="preserve">Public signup API</t>
  </si>
  <si>
    <t xml:space="preserve">api/ (new views + urls)</t>
  </si>
  <si>
    <t xml:space="preserve">Register, verify, resend, market categories; platform host only</t>
  </si>
  <si>
    <t xml:space="preserve">1, 3, 4, 5, 8</t>
  </si>
  <si>
    <t xml:space="preserve">Rate limits per IP and phone</t>
  </si>
  <si>
    <t xml:space="preserve">api/ + Redis cache</t>
  </si>
  <si>
    <t xml:space="preserve">Django's existing numbers</t>
  </si>
  <si>
    <t xml:space="preserve">6</t>
  </si>
  <si>
    <t xml:space="preserve">Store link host fix</t>
  </si>
  <si>
    <t xml:space="preserve">tenants/provisioning.py</t>
  </si>
  <si>
    <t xml:space="preserve">Use forwarded host/protocol from the BFF</t>
  </si>
  <si>
    <t xml:space="preserve">7</t>
  </si>
  <si>
    <t xml:space="preserve">Subdomain length rule</t>
  </si>
  <si>
    <t xml:space="preserve">tenants/validators.py, src/lib/tenant.ts</t>
  </si>
  <si>
    <t xml:space="preserve">Depends on Decision 1</t>
  </si>
  <si>
    <t xml:space="preserve">2</t>
  </si>
  <si>
    <t xml:space="preserve">First password with setup token</t>
  </si>
  <si>
    <t xml:space="preserve">api/views_auth.py, setup-password BFF + form</t>
  </si>
  <si>
    <t xml:space="preserve">Depends on Decision 2</t>
  </si>
  <si>
    <t xml:space="preserve">9</t>
  </si>
  <si>
    <t xml:space="preserve">Tests</t>
  </si>
  <si>
    <t xml:space="preserve">api/test_onboarding_api.py</t>
  </si>
  <si>
    <t xml:space="preserve">Same style as the auth tests</t>
  </si>
  <si>
    <t xml:space="preserve">All</t>
  </si>
  <si>
    <t xml:space="preserve">Note: store setup runs in Celery. Without a worker running, new stores stay "pending".</t>
  </si>
  <si>
    <t xml:space="preserve">Open decisions</t>
  </si>
  <si>
    <t xml:space="preserve">Fill in the yellow cells (column E) with your choice.</t>
  </si>
  <si>
    <t xml:space="preserve">Decision</t>
  </si>
  <si>
    <t xml:space="preserve">Recommendation</t>
  </si>
  <si>
    <t xml:space="preserve">Alternative</t>
  </si>
  <si>
    <t xml:space="preserve">Your answer</t>
  </si>
  <si>
    <t xml:space="preserve">3–50 characters everywhere (Django validator + frontend SUBDOMAIN_MAX)</t>
  </si>
  <si>
    <t xml:space="preserve">Keep 63 (DNS label / schema limit) and raise Django's limit</t>
  </si>
  <si>
    <t xml:space="preserve">First password (item 9)</t>
  </si>
  <si>
    <t xml:space="preserve">Include now: signed short-lived setup token on the dashboard link, required by set-password (one extra field in the frontend contract)</t>
  </si>
  <si>
    <t xml:space="preserve">Separate task later; mocks must stay on for the full flow until then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</si>
</sst>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COUNTIF(Discrepancies!$C$4:$C$12,A5)</f>
        <v>2</v>
      </c>
    </row>
    <row r="6" customFormat="false" ht="15" hidden="false" customHeight="false" outlineLevel="0" collapsed="false">
      <c r="A6" s="4" t="s">
        <v>5</v>
      </c>
      <c r="B6" s="4" t="n">
        <f aca="false">COUNTIF(Discrepancies!$C$4:$C$12,A6)</f>
        <v>2</v>
      </c>
    </row>
    <row r="7" customFormat="false" ht="15" hidden="false" customHeight="false" outlineLevel="0" collapsed="false">
      <c r="A7" s="4" t="s">
        <v>6</v>
      </c>
      <c r="B7" s="4" t="n">
        <f aca="false">COUNTIF(Discrepancies!$C$4:$C$12,A7)</f>
        <v>3</v>
      </c>
    </row>
    <row r="8" customFormat="false" ht="15" hidden="false" customHeight="false" outlineLevel="0" collapsed="false">
      <c r="A8" s="4" t="s">
        <v>7</v>
      </c>
      <c r="B8" s="4" t="n">
        <f aca="false">COUNTIF(Discrepancies!$C$4:$C$12,A8)</f>
        <v>2</v>
      </c>
    </row>
    <row r="9" customFormat="false" ht="15" hidden="false" customHeight="false" outlineLevel="0" collapsed="false">
      <c r="A9" s="5" t="s">
        <v>8</v>
      </c>
      <c r="B9" s="5" t="n">
        <f aca="false">SUM(B5:B8)</f>
        <v>9</v>
      </c>
    </row>
    <row r="11" customFormat="false" ht="15" hidden="false" customHeight="false" outlineLevel="0" collapsed="false">
      <c r="A11" s="3" t="s">
        <v>9</v>
      </c>
      <c r="B11" s="3" t="s">
        <v>3</v>
      </c>
    </row>
    <row r="12" customFormat="false" ht="15" hidden="false" customHeight="false" outlineLevel="0" collapsed="false">
      <c r="A12" s="4" t="s">
        <v>10</v>
      </c>
      <c r="B12" s="4" t="n">
        <f aca="false">COUNTIF(Discrepancies!$H$4:$H$12,A12)</f>
        <v>7</v>
      </c>
    </row>
    <row r="13" customFormat="false" ht="15" hidden="false" customHeight="false" outlineLevel="0" collapsed="false">
      <c r="A13" s="4" t="s">
        <v>11</v>
      </c>
      <c r="B13" s="4" t="n">
        <f aca="false">COUNTIF(Discrepancies!$H$4:$H$12,A13)</f>
        <v>2</v>
      </c>
    </row>
    <row r="14" customFormat="false" ht="15" hidden="false" customHeight="false" outlineLevel="0" collapsed="false">
      <c r="A14" s="5" t="s">
        <v>12</v>
      </c>
      <c r="B14" s="5" t="n">
        <f aca="false">COUNTBLANK(Decisions!$E$4:$E$5)</f>
        <v>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5" min="4" style="0" width="40"/>
    <col collapsed="false" customWidth="true" hidden="false" outlineLevel="0" max="6" min="6" style="0" width="36"/>
    <col collapsed="false" customWidth="true" hidden="false" outlineLevel="0" max="7" min="7" style="0" width="44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9</v>
      </c>
    </row>
    <row r="4" customFormat="false" ht="35.05" hidden="false" customHeight="false" outlineLevel="0" collapsed="false">
      <c r="A4" s="7" t="n">
        <v>1</v>
      </c>
      <c r="B4" s="7" t="s">
        <v>23</v>
      </c>
      <c r="C4" s="7" t="s">
        <v>4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10</v>
      </c>
    </row>
    <row r="5" customFormat="false" ht="35.05" hidden="false" customHeight="false" outlineLevel="0" collapsed="false">
      <c r="A5" s="7" t="n">
        <v>2</v>
      </c>
      <c r="B5" s="7" t="s">
        <v>28</v>
      </c>
      <c r="C5" s="7" t="s">
        <v>6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11</v>
      </c>
    </row>
    <row r="6" customFormat="false" ht="23.85" hidden="false" customHeight="false" outlineLevel="0" collapsed="false">
      <c r="A6" s="7" t="n">
        <v>3</v>
      </c>
      <c r="B6" s="7" t="s">
        <v>33</v>
      </c>
      <c r="C6" s="7" t="s">
        <v>6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10</v>
      </c>
    </row>
    <row r="7" customFormat="false" ht="23.85" hidden="false" customHeight="false" outlineLevel="0" collapsed="false">
      <c r="A7" s="7" t="n">
        <v>4</v>
      </c>
      <c r="B7" s="7" t="s">
        <v>38</v>
      </c>
      <c r="C7" s="7" t="s">
        <v>7</v>
      </c>
      <c r="D7" s="7" t="s">
        <v>39</v>
      </c>
      <c r="E7" s="7" t="s">
        <v>40</v>
      </c>
      <c r="F7" s="7" t="s">
        <v>41</v>
      </c>
      <c r="G7" s="7" t="s">
        <v>42</v>
      </c>
      <c r="H7" s="7" t="s">
        <v>10</v>
      </c>
    </row>
    <row r="8" customFormat="false" ht="23.85" hidden="false" customHeight="false" outlineLevel="0" collapsed="false">
      <c r="A8" s="7" t="n">
        <v>5</v>
      </c>
      <c r="B8" s="7" t="s">
        <v>43</v>
      </c>
      <c r="C8" s="7" t="s">
        <v>6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10</v>
      </c>
    </row>
    <row r="9" customFormat="false" ht="23.85" hidden="false" customHeight="false" outlineLevel="0" collapsed="false">
      <c r="A9" s="7" t="n">
        <v>6</v>
      </c>
      <c r="B9" s="7" t="s">
        <v>48</v>
      </c>
      <c r="C9" s="7" t="s">
        <v>5</v>
      </c>
      <c r="D9" s="7" t="s">
        <v>49</v>
      </c>
      <c r="E9" s="7" t="s">
        <v>50</v>
      </c>
      <c r="F9" s="7" t="s">
        <v>51</v>
      </c>
      <c r="G9" s="7" t="s">
        <v>52</v>
      </c>
      <c r="H9" s="7" t="s">
        <v>10</v>
      </c>
    </row>
    <row r="10" customFormat="false" ht="23.85" hidden="false" customHeight="false" outlineLevel="0" collapsed="false">
      <c r="A10" s="7" t="n">
        <v>7</v>
      </c>
      <c r="B10" s="7" t="s">
        <v>53</v>
      </c>
      <c r="C10" s="7" t="s">
        <v>5</v>
      </c>
      <c r="D10" s="7" t="s">
        <v>54</v>
      </c>
      <c r="E10" s="7" t="s">
        <v>55</v>
      </c>
      <c r="F10" s="7" t="s">
        <v>56</v>
      </c>
      <c r="G10" s="7" t="s">
        <v>57</v>
      </c>
      <c r="H10" s="7" t="s">
        <v>10</v>
      </c>
    </row>
    <row r="11" customFormat="false" ht="23.85" hidden="false" customHeight="false" outlineLevel="0" collapsed="false">
      <c r="A11" s="7" t="n">
        <v>8</v>
      </c>
      <c r="B11" s="7" t="s">
        <v>58</v>
      </c>
      <c r="C11" s="7" t="s">
        <v>7</v>
      </c>
      <c r="D11" s="7" t="s">
        <v>59</v>
      </c>
      <c r="E11" s="7" t="s">
        <v>60</v>
      </c>
      <c r="F11" s="7" t="s">
        <v>61</v>
      </c>
      <c r="G11" s="7" t="s">
        <v>62</v>
      </c>
      <c r="H11" s="7" t="s">
        <v>10</v>
      </c>
    </row>
    <row r="12" customFormat="false" ht="35.05" hidden="false" customHeight="false" outlineLevel="0" collapsed="false">
      <c r="A12" s="7" t="n">
        <v>9</v>
      </c>
      <c r="B12" s="7" t="s">
        <v>63</v>
      </c>
      <c r="C12" s="7" t="s">
        <v>4</v>
      </c>
      <c r="D12" s="7" t="s">
        <v>64</v>
      </c>
      <c r="E12" s="7" t="s">
        <v>65</v>
      </c>
      <c r="F12" s="7" t="s">
        <v>66</v>
      </c>
      <c r="G12" s="7" t="s">
        <v>67</v>
      </c>
      <c r="H12" s="7" t="s">
        <v>11</v>
      </c>
    </row>
  </sheetData>
  <autoFilter ref="A3:H12"/>
  <conditionalFormatting sqref="C4:C12">
    <cfRule type="expression" priority="2" aboveAverage="0" equalAverage="0" bottom="0" percent="0" rank="0" text="" dxfId="7">
      <formula>$C4="Blocker"</formula>
    </cfRule>
    <cfRule type="expression" priority="3" aboveAverage="0" equalAverage="0" bottom="0" percent="0" rank="0" text="" dxfId="8">
      <formula>$C4="High"</formula>
    </cfRule>
    <cfRule type="expression" priority="4" aboveAverage="0" equalAverage="0" bottom="0" percent="0" rank="0" text="" dxfId="9">
      <formula>$C4="Medium"</formula>
    </cfRule>
    <cfRule type="expression" priority="5" aboveAverage="0" equalAverage="0" bottom="0" percent="0" rank="0" text="" dxfId="10">
      <formula>$C4="Low"</formula>
    </cfRule>
  </conditionalFormatting>
  <conditionalFormatting sqref="H4:H12">
    <cfRule type="expression" priority="6" aboveAverage="0" equalAverage="0" bottom="0" percent="0" rank="0" text="" dxfId="8">
      <formula>$H4="Needs decision"</formula>
    </cfRule>
  </conditionalFormatting>
  <dataValidations count="2">
    <dataValidation allowBlank="false" errorStyle="stop" operator="between" showDropDown="false" showErrorMessage="false" showInputMessage="false" sqref="C4:C12" type="list">
      <formula1>"Blocker,High,Medium,Low"</formula1>
      <formula2>0</formula2>
    </dataValidation>
    <dataValidation allowBlank="false" errorStyle="stop" operator="between" showDropDown="false" showErrorMessage="false" showInputMessage="false" sqref="H4:H12" type="list">
      <formula1>"Planned,Needs decision,Done"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6" t="s">
        <v>69</v>
      </c>
      <c r="B3" s="6" t="s">
        <v>70</v>
      </c>
      <c r="C3" s="6" t="s">
        <v>20</v>
      </c>
      <c r="D3" s="6" t="s">
        <v>71</v>
      </c>
    </row>
    <row r="4" customFormat="false" ht="35.05" hidden="false" customHeight="false" outlineLevel="0" collapsed="false">
      <c r="A4" s="7" t="s">
        <v>72</v>
      </c>
      <c r="B4" s="7" t="s">
        <v>73</v>
      </c>
      <c r="C4" s="7" t="s">
        <v>74</v>
      </c>
      <c r="D4" s="7" t="s">
        <v>75</v>
      </c>
    </row>
    <row r="5" customFormat="false" ht="23.85" hidden="false" customHeight="false" outlineLevel="0" collapsed="false">
      <c r="A5" s="7" t="s">
        <v>76</v>
      </c>
      <c r="B5" s="7" t="s">
        <v>77</v>
      </c>
      <c r="C5" s="7" t="s">
        <v>78</v>
      </c>
      <c r="D5" s="7" t="s">
        <v>75</v>
      </c>
    </row>
    <row r="6" customFormat="false" ht="23.85" hidden="false" customHeight="false" outlineLevel="0" collapsed="false">
      <c r="A6" s="7" t="s">
        <v>79</v>
      </c>
      <c r="B6" s="7" t="s">
        <v>80</v>
      </c>
      <c r="C6" s="7" t="s">
        <v>81</v>
      </c>
      <c r="D6" s="7" t="s">
        <v>75</v>
      </c>
    </row>
    <row r="7" customFormat="false" ht="15" hidden="false" customHeight="false" outlineLevel="0" collapsed="false">
      <c r="A7" s="7" t="s">
        <v>82</v>
      </c>
      <c r="B7" s="7" t="s">
        <v>83</v>
      </c>
      <c r="C7" s="7" t="s">
        <v>84</v>
      </c>
      <c r="D7" s="7" t="s">
        <v>75</v>
      </c>
    </row>
    <row r="8" customFormat="false" ht="15" hidden="false" customHeight="false" outlineLevel="0" collapsed="false">
      <c r="A8" s="7" t="s">
        <v>85</v>
      </c>
      <c r="B8" s="7" t="s">
        <v>86</v>
      </c>
      <c r="C8" s="7" t="s">
        <v>87</v>
      </c>
      <c r="D8" s="7" t="s">
        <v>88</v>
      </c>
    </row>
    <row r="9" customFormat="false" ht="15" hidden="false" customHeight="false" outlineLevel="0" collapsed="false">
      <c r="A9" s="7" t="s">
        <v>89</v>
      </c>
      <c r="B9" s="7" t="s">
        <v>90</v>
      </c>
      <c r="C9" s="7" t="s">
        <v>91</v>
      </c>
      <c r="D9" s="7" t="s">
        <v>92</v>
      </c>
    </row>
    <row r="10" customFormat="false" ht="23.85" hidden="false" customHeight="false" outlineLevel="0" collapsed="false">
      <c r="A10" s="7" t="s">
        <v>93</v>
      </c>
      <c r="B10" s="7" t="s">
        <v>94</v>
      </c>
      <c r="C10" s="7" t="s">
        <v>95</v>
      </c>
      <c r="D10" s="7" t="s">
        <v>11</v>
      </c>
    </row>
    <row r="12" customFormat="false" ht="15" hidden="false" customHeight="false" outlineLevel="0" collapsed="false">
      <c r="A12" s="8" t="s">
        <v>96</v>
      </c>
    </row>
    <row r="13" customFormat="false" ht="15" hidden="false" customHeight="false" outlineLevel="0" collapsed="false">
      <c r="A13" s="6" t="s">
        <v>97</v>
      </c>
      <c r="B13" s="6" t="s">
        <v>98</v>
      </c>
      <c r="C13" s="6" t="s">
        <v>99</v>
      </c>
      <c r="D13" s="6" t="s">
        <v>100</v>
      </c>
    </row>
    <row r="14" customFormat="false" ht="15" hidden="false" customHeight="false" outlineLevel="0" collapsed="false">
      <c r="A14" s="7" t="s">
        <v>101</v>
      </c>
      <c r="B14" s="7" t="s">
        <v>102</v>
      </c>
      <c r="C14" s="7" t="s">
        <v>103</v>
      </c>
      <c r="D14" s="7" t="s">
        <v>104</v>
      </c>
    </row>
    <row r="15" customFormat="false" ht="23.85" hidden="false" customHeight="false" outlineLevel="0" collapsed="false">
      <c r="A15" s="7" t="s">
        <v>105</v>
      </c>
      <c r="B15" s="7" t="s">
        <v>106</v>
      </c>
      <c r="C15" s="7" t="s">
        <v>103</v>
      </c>
      <c r="D15" s="7" t="s">
        <v>107</v>
      </c>
    </row>
    <row r="16" customFormat="false" ht="15" hidden="false" customHeight="false" outlineLevel="0" collapsed="false">
      <c r="A16" s="7" t="s">
        <v>108</v>
      </c>
      <c r="B16" s="7" t="s">
        <v>108</v>
      </c>
      <c r="C16" s="7" t="s">
        <v>109</v>
      </c>
      <c r="D16" s="7" t="s">
        <v>110</v>
      </c>
    </row>
    <row r="17" customFormat="false" ht="15" hidden="false" customHeight="false" outlineLevel="0" collapsed="false">
      <c r="A17" s="7" t="s">
        <v>111</v>
      </c>
      <c r="B17" s="7" t="s">
        <v>112</v>
      </c>
      <c r="C17" s="7" t="s">
        <v>113</v>
      </c>
      <c r="D17" s="7" t="s">
        <v>114</v>
      </c>
    </row>
    <row r="18" customFormat="false" ht="15" hidden="false" customHeight="false" outlineLevel="0" collapsed="false">
      <c r="A18" s="7" t="s">
        <v>115</v>
      </c>
      <c r="B18" s="7" t="s">
        <v>116</v>
      </c>
      <c r="C18" s="7" t="s">
        <v>117</v>
      </c>
      <c r="D18" s="7" t="s">
        <v>118</v>
      </c>
    </row>
    <row r="19" customFormat="false" ht="15" hidden="false" customHeight="false" outlineLevel="0" collapsed="false">
      <c r="A19" s="7" t="s">
        <v>119</v>
      </c>
      <c r="B19" s="7" t="s">
        <v>120</v>
      </c>
      <c r="C19" s="7" t="s">
        <v>121</v>
      </c>
      <c r="D19" s="7" t="s">
        <v>122</v>
      </c>
    </row>
    <row r="20" customFormat="false" ht="15" hidden="false" customHeight="false" outlineLevel="0" collapsed="false">
      <c r="A20" s="7" t="s">
        <v>123</v>
      </c>
      <c r="B20" s="7" t="s">
        <v>120</v>
      </c>
      <c r="C20" s="7" t="s">
        <v>121</v>
      </c>
      <c r="D20" s="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125</v>
      </c>
    </row>
    <row r="3" customFormat="false" ht="15" hidden="false" customHeight="false" outlineLevel="0" collapsed="false">
      <c r="A3" s="6" t="s">
        <v>16</v>
      </c>
      <c r="B3" s="6" t="s">
        <v>126</v>
      </c>
      <c r="C3" s="6" t="s">
        <v>127</v>
      </c>
      <c r="D3" s="6" t="s">
        <v>128</v>
      </c>
      <c r="E3" s="6" t="s">
        <v>129</v>
      </c>
    </row>
    <row r="4" customFormat="false" ht="15" hidden="false" customHeight="false" outlineLevel="0" collapsed="false">
      <c r="A4" s="7" t="n">
        <v>1</v>
      </c>
      <c r="B4" s="7" t="s">
        <v>130</v>
      </c>
      <c r="C4" s="7" t="s">
        <v>131</v>
      </c>
      <c r="D4" s="7" t="s">
        <v>132</v>
      </c>
      <c r="E4" s="7" t="s">
        <v>133</v>
      </c>
    </row>
    <row r="5" customFormat="false" ht="15" hidden="false" customHeight="false" outlineLevel="0" collapsed="false">
      <c r="A5" s="7" t="n">
        <v>2</v>
      </c>
      <c r="B5" s="7" t="s">
        <v>134</v>
      </c>
      <c r="C5" s="7" t="s">
        <v>135</v>
      </c>
      <c r="D5" s="7" t="s">
        <v>136</v>
      </c>
      <c r="E5" s="7" t="s">
        <v>137</v>
      </c>
    </row>
    <row r="6" customFormat="false" ht="15" hidden="false" customHeight="false" outlineLevel="0" collapsed="false">
      <c r="A6" s="7" t="n">
        <v>3</v>
      </c>
      <c r="B6" s="7" t="s">
        <v>138</v>
      </c>
      <c r="C6" s="7" t="s">
        <v>139</v>
      </c>
      <c r="D6" s="7" t="s">
        <v>140</v>
      </c>
      <c r="E6" s="7" t="s">
        <v>141</v>
      </c>
    </row>
    <row r="7" customFormat="false" ht="15" hidden="false" customHeight="false" outlineLevel="0" collapsed="false">
      <c r="A7" s="7" t="n">
        <v>4</v>
      </c>
      <c r="B7" s="7" t="s">
        <v>142</v>
      </c>
      <c r="C7" s="7" t="s">
        <v>143</v>
      </c>
      <c r="D7" s="7" t="s">
        <v>144</v>
      </c>
      <c r="E7" s="7" t="s">
        <v>145</v>
      </c>
    </row>
    <row r="8" customFormat="false" ht="15" hidden="false" customHeight="false" outlineLevel="0" collapsed="false">
      <c r="A8" s="7" t="n">
        <v>5</v>
      </c>
      <c r="B8" s="7" t="s">
        <v>146</v>
      </c>
      <c r="C8" s="7" t="s">
        <v>147</v>
      </c>
      <c r="D8" s="7" t="s">
        <v>148</v>
      </c>
      <c r="E8" s="7" t="s">
        <v>149</v>
      </c>
    </row>
    <row r="9" customFormat="false" ht="15" hidden="false" customHeight="false" outlineLevel="0" collapsed="false">
      <c r="A9" s="7" t="n">
        <v>6</v>
      </c>
      <c r="B9" s="7" t="s">
        <v>150</v>
      </c>
      <c r="C9" s="7" t="s">
        <v>151</v>
      </c>
      <c r="D9" s="7" t="s">
        <v>152</v>
      </c>
      <c r="E9" s="7" t="s">
        <v>153</v>
      </c>
    </row>
    <row r="10" customFormat="false" ht="15" hidden="false" customHeight="false" outlineLevel="0" collapsed="false">
      <c r="A10" s="7" t="n">
        <v>7</v>
      </c>
      <c r="B10" s="7" t="s">
        <v>154</v>
      </c>
      <c r="C10" s="7" t="s">
        <v>155</v>
      </c>
      <c r="D10" s="7" t="s">
        <v>156</v>
      </c>
      <c r="E10" s="7" t="s">
        <v>157</v>
      </c>
    </row>
    <row r="12" customFormat="false" ht="15" hidden="false" customHeight="false" outlineLevel="0" collapsed="false">
      <c r="A12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3" customFormat="false" ht="15" hidden="false" customHeight="false" outlineLevel="0" collapsed="false">
      <c r="A3" s="6" t="s">
        <v>16</v>
      </c>
      <c r="B3" s="6" t="s">
        <v>161</v>
      </c>
      <c r="C3" s="6" t="s">
        <v>162</v>
      </c>
      <c r="D3" s="6" t="s">
        <v>163</v>
      </c>
      <c r="E3" s="6" t="s">
        <v>164</v>
      </c>
    </row>
    <row r="4" customFormat="false" ht="23.85" hidden="false" customHeight="false" outlineLevel="0" collapsed="false">
      <c r="A4" s="7" t="n">
        <v>1</v>
      </c>
      <c r="B4" s="7" t="s">
        <v>28</v>
      </c>
      <c r="C4" s="7" t="s">
        <v>165</v>
      </c>
      <c r="D4" s="7" t="s">
        <v>166</v>
      </c>
      <c r="E4" s="9"/>
    </row>
    <row r="5" customFormat="false" ht="23.85" hidden="false" customHeight="false" outlineLevel="0" collapsed="false">
      <c r="A5" s="7" t="n">
        <v>2</v>
      </c>
      <c r="B5" s="7" t="s">
        <v>167</v>
      </c>
      <c r="C5" s="7" t="s">
        <v>168</v>
      </c>
      <c r="D5" s="7" t="s">
        <v>169</v>
      </c>
      <c r="E5" s="9"/>
    </row>
  </sheetData>
  <dataValidations count="1">
    <dataValidation allowBlank="true" errorStyle="stop" operator="between" showDropDown="false" showErrorMessage="false" showInputMessage="false" sqref="E4:E5" type="list">
      <formula1>"Recommendation,Alternative"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2026-10-21T11:13:36Z</dcterms:created>
  <dc:creator>openpyxl</dc:creator>
  <dc:description/>
  <dc:language>en-US</dc:language>
  <cp:lastModifiedBy/>
  <dcterms:modified xsi:type="dcterms:W3CDTF">2026-10-21T11:13:36Z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